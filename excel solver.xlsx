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37a18f4103cac57/Documents/Teknik_Riset_Operasional/"/>
    </mc:Choice>
  </mc:AlternateContent>
  <xr:revisionPtr revIDLastSave="1" documentId="13_ncr:1_{22E1346C-A3E8-4258-9EE8-D93666DC7D33}" xr6:coauthVersionLast="47" xr6:coauthVersionMax="47" xr10:uidLastSave="{37158916-9641-4329-B4C9-38283ECF572F}"/>
  <bookViews>
    <workbookView xWindow="-120" yWindow="-120" windowWidth="20730" windowHeight="11040" activeTab="1" xr2:uid="{B67F1BFB-EE3D-4C72-807C-E3A7DD0DAEF4}"/>
  </bookViews>
  <sheets>
    <sheet name="Sheet1" sheetId="1" r:id="rId1"/>
    <sheet name="Sheet2" sheetId="2" r:id="rId2"/>
    <sheet name="Sheet2 (2)" sheetId="4" r:id="rId3"/>
    <sheet name="Sheet3" sheetId="3" r:id="rId4"/>
  </sheets>
  <definedNames>
    <definedName name="solver_adj" localSheetId="0" hidden="1">Sheet1!$B$9:$F$11,Sheet1!$B$14:$D$14</definedName>
    <definedName name="solver_adj" localSheetId="1" hidden="1">Sheet2!$C$7:$E$8</definedName>
    <definedName name="solver_adj" localSheetId="2" hidden="1">'Sheet2 (2)'!$C$7:$E$8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2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Sheet1!$B$12:$F$12</definedName>
    <definedName name="solver_lhs1" localSheetId="1" hidden="1">Sheet2!$C$9:$E$9</definedName>
    <definedName name="solver_lhs1" localSheetId="2" hidden="1">'Sheet2 (2)'!$C$9:$E$9</definedName>
    <definedName name="solver_lhs2" localSheetId="0" hidden="1">Sheet1!$G$9:$G$11</definedName>
    <definedName name="solver_lhs2" localSheetId="1" hidden="1">Sheet2!$F$7:$F$8</definedName>
    <definedName name="solver_lhs2" localSheetId="2" hidden="1">'Sheet2 (2)'!$F$7:$F$8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2</definedName>
    <definedName name="solver_num" localSheetId="1" hidden="1">2</definedName>
    <definedName name="solver_num" localSheetId="2" hidden="1">2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Sheet1!$H$2</definedName>
    <definedName name="solver_opt" localSheetId="1" hidden="1">Sheet2!$D$12</definedName>
    <definedName name="solver_opt" localSheetId="2" hidden="1">'Sheet2 (2)'!$D$12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2</definedName>
    <definedName name="solver_rbv" localSheetId="1" hidden="1">1</definedName>
    <definedName name="solver_rbv" localSheetId="2" hidden="1">1</definedName>
    <definedName name="solver_rel1" localSheetId="0" hidden="1">3</definedName>
    <definedName name="solver_rel1" localSheetId="1" hidden="1">2</definedName>
    <definedName name="solver_rel1" localSheetId="2" hidden="1">2</definedName>
    <definedName name="solver_rel2" localSheetId="0" hidden="1">1</definedName>
    <definedName name="solver_rel2" localSheetId="1" hidden="1">1</definedName>
    <definedName name="solver_rel2" localSheetId="2" hidden="1">1</definedName>
    <definedName name="solver_rhs1" localSheetId="0" hidden="1">Sheet1!$B$5:$F$5</definedName>
    <definedName name="solver_rhs1" localSheetId="1" hidden="1">Sheet2!$C$10:$E$10</definedName>
    <definedName name="solver_rhs1" localSheetId="2" hidden="1">'Sheet2 (2)'!$C$10:$E$10</definedName>
    <definedName name="solver_rhs2" localSheetId="0" hidden="1">Sheet1!$H$9:$H$11</definedName>
    <definedName name="solver_rhs2" localSheetId="1" hidden="1">Sheet2!$H$7:$H$8</definedName>
    <definedName name="solver_rhs2" localSheetId="2" hidden="1">'Sheet2 (2)'!$H$7:$H$8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2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1</definedName>
    <definedName name="solver_typ" localSheetId="1" hidden="1">2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4" l="1"/>
  <c r="E9" i="4"/>
  <c r="D9" i="4"/>
  <c r="C9" i="4"/>
  <c r="F8" i="4"/>
  <c r="F7" i="4"/>
  <c r="C12" i="2"/>
  <c r="E9" i="2"/>
  <c r="D9" i="2"/>
  <c r="C9" i="2"/>
  <c r="F8" i="2"/>
  <c r="F7" i="2"/>
  <c r="H11" i="1"/>
  <c r="H10" i="1"/>
  <c r="H9" i="1"/>
  <c r="G9" i="1"/>
  <c r="F12" i="1" l="1"/>
  <c r="E12" i="1"/>
  <c r="D12" i="1"/>
  <c r="C12" i="1"/>
  <c r="B12" i="1"/>
  <c r="G11" i="1"/>
  <c r="G10" i="1"/>
  <c r="H2" i="1"/>
</calcChain>
</file>

<file path=xl/sharedStrings.xml><?xml version="1.0" encoding="utf-8"?>
<sst xmlns="http://schemas.openxmlformats.org/spreadsheetml/2006/main" count="61" uniqueCount="32">
  <si>
    <t>Nilai / Label</t>
  </si>
  <si>
    <t>Keterangan</t>
  </si>
  <si>
    <t>JAM REGULER (M)</t>
  </si>
  <si>
    <t>PERMINTAAN AREA ($t_j$)</t>
  </si>
  <si>
    <t>Area 1</t>
  </si>
  <si>
    <t>Area 2</t>
  </si>
  <si>
    <t>Area 3</t>
  </si>
  <si>
    <t>Area 4</t>
  </si>
  <si>
    <t>Area 5</t>
  </si>
  <si>
    <t>MATRIKS PENUGASAN ($x_{ij}$) (Changing Cells)</t>
  </si>
  <si>
    <t>Petugas 1 (P1)</t>
  </si>
  <si>
    <t>Petugas 2 (P2)</t>
  </si>
  <si>
    <t>Petugas 3 (P3)</t>
  </si>
  <si>
    <t>LEMBUR ($o_i$) (Changing Cells)</t>
  </si>
  <si>
    <t>P1 Lembur</t>
  </si>
  <si>
    <t>P2 Lembur</t>
  </si>
  <si>
    <t>P3 Lembur</t>
  </si>
  <si>
    <t>TOTAL LEMBUR (Obj. Func.)</t>
  </si>
  <si>
    <t>1.0</t>
  </si>
  <si>
    <t>Toko A</t>
  </si>
  <si>
    <t>Toko B</t>
  </si>
  <si>
    <t>Toko C</t>
  </si>
  <si>
    <t>Gudang 1</t>
  </si>
  <si>
    <t>Gudang 2</t>
  </si>
  <si>
    <t>Permintaan</t>
  </si>
  <si>
    <t>Alokasi</t>
  </si>
  <si>
    <t>Total Kirim</t>
  </si>
  <si>
    <t>Kondisi</t>
  </si>
  <si>
    <t>Kapasitas</t>
  </si>
  <si>
    <t>Total Terima</t>
  </si>
  <si>
    <t>Biaya Total (Z)</t>
  </si>
  <si>
    <t>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</si>
</sst>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sz val="8"/>
      <name val="Calibri"/>
      <family val="2"/>
      <scheme val="minor"/>
    </font>
    <font>
      <sz val="10"/>
      <color theme="1"/>
      <name val="Arial Unicode MS"/>
    </font>
    <font>
      <sz val="10"/>
      <color rgb="FF444746"/>
      <name val="Google Sans Text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left" vertical="center" indent="1" readingOrder="1"/>
    </xf>
    <xf numFmtId="0" fontId="1" fillId="0" borderId="0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right" vertical="center" indent="1" readingOrder="1"/>
    </xf>
    <xf numFmtId="0" fontId="1" fillId="0" borderId="1" xfId="0" applyFont="1" applyBorder="1" applyAlignment="1">
      <alignment horizontal="right" vertical="center" indent="1" readingOrder="1"/>
    </xf>
    <xf numFmtId="0" fontId="1" fillId="0" borderId="2" xfId="0" applyFont="1" applyBorder="1" applyAlignment="1">
      <alignment horizontal="right" vertical="center" indent="1" readingOrder="1"/>
    </xf>
    <xf numFmtId="0" fontId="1" fillId="0" borderId="0" xfId="0" applyFont="1" applyBorder="1" applyAlignment="1">
      <alignment horizontal="right" vertical="center" indent="1" readingOrder="1"/>
    </xf>
    <xf numFmtId="0" fontId="2" fillId="0" borderId="3" xfId="0" applyFont="1" applyBorder="1" applyAlignment="1">
      <alignment horizontal="left" vertical="center" indent="1" readingOrder="1"/>
    </xf>
    <xf numFmtId="0" fontId="1" fillId="0" borderId="3" xfId="0" applyFont="1" applyBorder="1" applyAlignment="1">
      <alignment horizontal="left" vertical="center" indent="1" readingOrder="1"/>
    </xf>
    <xf numFmtId="0" fontId="1" fillId="0" borderId="5" xfId="0" applyFont="1" applyBorder="1" applyAlignment="1">
      <alignment horizontal="left" vertical="center" indent="1" readingOrder="1"/>
    </xf>
    <xf numFmtId="0" fontId="1" fillId="0" borderId="6" xfId="0" applyFont="1" applyBorder="1" applyAlignment="1">
      <alignment horizontal="left" vertical="center" indent="1" readingOrder="1"/>
    </xf>
    <xf numFmtId="0" fontId="0" fillId="0" borderId="3" xfId="0" applyBorder="1"/>
    <xf numFmtId="0" fontId="2" fillId="0" borderId="3" xfId="0" applyFont="1" applyBorder="1" applyAlignment="1">
      <alignment horizontal="right" vertical="center" indent="1" readingOrder="1"/>
    </xf>
    <xf numFmtId="0" fontId="1" fillId="0" borderId="3" xfId="0" applyFont="1" applyBorder="1" applyAlignment="1">
      <alignment horizontal="right" vertical="center" indent="1" readingOrder="1"/>
    </xf>
    <xf numFmtId="0" fontId="2" fillId="0" borderId="4" xfId="0" applyFont="1" applyBorder="1" applyAlignment="1">
      <alignment horizontal="right" vertical="center" wrapText="1" indent="1" readingOrder="1"/>
    </xf>
    <xf numFmtId="0" fontId="2" fillId="0" borderId="0" xfId="0" applyFont="1" applyBorder="1" applyAlignment="1">
      <alignment horizontal="right" vertical="center" indent="1" readingOrder="1"/>
    </xf>
    <xf numFmtId="0" fontId="1" fillId="0" borderId="0" xfId="0" applyFont="1" applyBorder="1" applyAlignment="1">
      <alignment horizontal="right" vertical="center" wrapText="1" indent="1" readingOrder="1"/>
    </xf>
    <xf numFmtId="0" fontId="2" fillId="0" borderId="0" xfId="0" applyFont="1" applyBorder="1" applyAlignment="1">
      <alignment horizontal="right" vertical="center" wrapText="1" indent="1" readingOrder="1"/>
    </xf>
    <xf numFmtId="0" fontId="0" fillId="0" borderId="0" xfId="0" applyBorder="1"/>
    <xf numFmtId="0" fontId="4" fillId="0" borderId="0" xfId="0" applyFont="1"/>
    <xf numFmtId="0" fontId="2" fillId="0" borderId="7" xfId="0" applyFont="1" applyBorder="1" applyAlignment="1">
      <alignment horizontal="right" vertical="center" wrapText="1" indent="1" readingOrder="1"/>
    </xf>
    <xf numFmtId="0" fontId="2" fillId="0" borderId="8" xfId="0" applyFont="1" applyBorder="1" applyAlignment="1">
      <alignment horizontal="right" vertical="center" wrapText="1" indent="1" readingOrder="1"/>
    </xf>
    <xf numFmtId="0" fontId="1" fillId="0" borderId="1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right" vertical="center" wrapText="1" indent="1" readingOrder="1"/>
    </xf>
    <xf numFmtId="0" fontId="5" fillId="0" borderId="1" xfId="0" applyFont="1" applyBorder="1" applyAlignment="1">
      <alignment horizontal="right" vertical="center" wrapText="1" indent="1" readingOrder="1"/>
    </xf>
    <xf numFmtId="0" fontId="5" fillId="0" borderId="1" xfId="0" applyFont="1" applyBorder="1" applyAlignment="1">
      <alignment horizontal="right" vertical="center" indent="1" readingOrder="1"/>
    </xf>
    <xf numFmtId="0" fontId="5" fillId="0" borderId="9" xfId="0" applyFont="1" applyBorder="1" applyAlignment="1">
      <alignment horizontal="righ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91147-69F1-48F3-9E2B-F5058ED0C9FA}">
  <dimension ref="A1:K18"/>
  <sheetViews>
    <sheetView zoomScale="73" workbookViewId="0">
      <selection activeCell="F10" sqref="F10"/>
    </sheetView>
  </sheetViews>
  <sheetFormatPr defaultRowHeight="15"/>
  <cols>
    <col min="1" max="1" width="54.140625" bestFit="1" customWidth="1"/>
    <col min="2" max="2" width="33.42578125" bestFit="1" customWidth="1"/>
    <col min="3" max="4" width="12.5703125" bestFit="1" customWidth="1"/>
    <col min="7" max="7" width="47.7109375" bestFit="1" customWidth="1"/>
    <col min="8" max="8" width="14.5703125" bestFit="1" customWidth="1"/>
  </cols>
  <sheetData>
    <row r="1" spans="1:11" ht="45.75" thickBot="1">
      <c r="A1" s="7" t="s">
        <v>0</v>
      </c>
      <c r="B1" s="7" t="s">
        <v>1</v>
      </c>
      <c r="H1" s="20" t="s">
        <v>17</v>
      </c>
      <c r="I1" s="16"/>
      <c r="J1" s="16"/>
      <c r="K1" s="17"/>
    </row>
    <row r="2" spans="1:11">
      <c r="A2" s="7" t="s">
        <v>2</v>
      </c>
      <c r="B2" s="8">
        <v>8</v>
      </c>
      <c r="H2" s="21">
        <f>SUM(B14:D14)</f>
        <v>0</v>
      </c>
      <c r="I2" s="17"/>
      <c r="J2" s="16"/>
      <c r="K2" s="18"/>
    </row>
    <row r="3" spans="1:11" ht="15.75" thickBot="1">
      <c r="A3" s="8"/>
      <c r="B3" s="8"/>
      <c r="H3" s="17"/>
    </row>
    <row r="4" spans="1:11">
      <c r="A4" s="7" t="s">
        <v>3</v>
      </c>
      <c r="B4" s="9" t="s">
        <v>4</v>
      </c>
      <c r="C4" s="10" t="s">
        <v>5</v>
      </c>
      <c r="D4" s="1" t="s">
        <v>6</v>
      </c>
      <c r="E4" s="1" t="s">
        <v>7</v>
      </c>
      <c r="F4" s="1" t="s">
        <v>8</v>
      </c>
    </row>
    <row r="5" spans="1:11">
      <c r="A5" s="2"/>
      <c r="B5" s="8">
        <v>1</v>
      </c>
      <c r="C5" s="11">
        <v>0</v>
      </c>
      <c r="D5" s="11">
        <v>0</v>
      </c>
      <c r="E5" s="11">
        <v>0</v>
      </c>
      <c r="F5" s="11" t="s">
        <v>18</v>
      </c>
    </row>
    <row r="6" spans="1:11" ht="15.75" thickBot="1">
      <c r="A6" s="2"/>
      <c r="B6" s="2"/>
    </row>
    <row r="7" spans="1:11" ht="15.75" thickBot="1">
      <c r="A7" s="3" t="s">
        <v>0</v>
      </c>
      <c r="B7" s="3" t="s">
        <v>1</v>
      </c>
    </row>
    <row r="8" spans="1:11" ht="15.75" thickBot="1">
      <c r="A8" s="3" t="s">
        <v>9</v>
      </c>
      <c r="B8" s="4"/>
      <c r="G8" s="15"/>
      <c r="H8" s="16"/>
      <c r="I8" s="16"/>
      <c r="J8" s="14"/>
    </row>
    <row r="9" spans="1:11" ht="15.75" thickBot="1">
      <c r="A9" s="4" t="s">
        <v>10</v>
      </c>
      <c r="B9" s="4">
        <v>0</v>
      </c>
      <c r="C9">
        <v>0</v>
      </c>
      <c r="D9">
        <v>0</v>
      </c>
      <c r="E9">
        <v>0</v>
      </c>
      <c r="F9">
        <v>0</v>
      </c>
      <c r="G9" s="19">
        <f>SUM(B9:F9)</f>
        <v>0</v>
      </c>
      <c r="H9" s="19">
        <f>B2+B14</f>
        <v>8</v>
      </c>
      <c r="I9" s="16"/>
    </row>
    <row r="10" spans="1:11" ht="15.75" thickBot="1">
      <c r="A10" s="4" t="s">
        <v>11</v>
      </c>
      <c r="B10" s="4">
        <v>0</v>
      </c>
      <c r="C10">
        <v>0</v>
      </c>
      <c r="D10">
        <v>0</v>
      </c>
      <c r="E10">
        <v>0</v>
      </c>
      <c r="F10">
        <v>0</v>
      </c>
      <c r="G10" s="19">
        <f>SUM(B10:F10)</f>
        <v>0</v>
      </c>
      <c r="H10" s="17">
        <f>B2+C14</f>
        <v>8</v>
      </c>
      <c r="I10" s="16"/>
    </row>
    <row r="11" spans="1:11" ht="15.75" thickBot="1">
      <c r="A11" s="4" t="s">
        <v>12</v>
      </c>
      <c r="B11" s="4">
        <v>0</v>
      </c>
      <c r="C11">
        <v>0</v>
      </c>
      <c r="D11">
        <v>0</v>
      </c>
      <c r="E11">
        <v>0</v>
      </c>
      <c r="F11">
        <v>0</v>
      </c>
      <c r="G11" s="19">
        <f>SUM(B11:F11)</f>
        <v>0</v>
      </c>
      <c r="H11" s="17">
        <f>B2+D14</f>
        <v>8</v>
      </c>
      <c r="I11" s="16"/>
    </row>
    <row r="12" spans="1:11">
      <c r="A12" s="5"/>
      <c r="B12" s="19">
        <f>SUM(B9:B11)</f>
        <v>0</v>
      </c>
      <c r="C12" s="19">
        <f>SUM(C9:C11)</f>
        <v>0</v>
      </c>
      <c r="D12" s="19">
        <f>SUM(D9:D11)</f>
        <v>0</v>
      </c>
      <c r="E12" s="19">
        <f>SUM(E9:E11)</f>
        <v>0</v>
      </c>
      <c r="F12" s="19">
        <f>SUM(F9:F11)</f>
        <v>0</v>
      </c>
      <c r="G12" s="16"/>
      <c r="H12" s="17"/>
      <c r="I12" s="16"/>
    </row>
    <row r="13" spans="1:11">
      <c r="A13" s="12" t="s">
        <v>13</v>
      </c>
      <c r="B13" s="13" t="s">
        <v>14</v>
      </c>
      <c r="C13" s="13" t="s">
        <v>15</v>
      </c>
      <c r="D13" s="13" t="s">
        <v>16</v>
      </c>
      <c r="G13" s="16"/>
      <c r="H13" s="17"/>
      <c r="I13" s="16"/>
    </row>
    <row r="14" spans="1:11">
      <c r="A14" s="6"/>
      <c r="B14" s="13">
        <v>0</v>
      </c>
      <c r="C14" s="11">
        <v>0</v>
      </c>
      <c r="D14" s="11">
        <v>0</v>
      </c>
      <c r="G14" s="17"/>
      <c r="H14" s="17"/>
      <c r="I14" s="16"/>
    </row>
    <row r="15" spans="1:11">
      <c r="A15" s="6"/>
      <c r="B15" s="6"/>
      <c r="G15" s="16"/>
      <c r="H15" s="17"/>
      <c r="I15" s="16"/>
    </row>
    <row r="16" spans="1:11">
      <c r="A16" s="6"/>
      <c r="B16" s="6"/>
      <c r="G16" s="16"/>
      <c r="H16" s="17"/>
      <c r="I16" s="16"/>
    </row>
    <row r="17" spans="1:9">
      <c r="A17" s="6"/>
      <c r="B17" s="6"/>
      <c r="G17" s="17"/>
      <c r="H17" s="17"/>
      <c r="I17" s="16"/>
    </row>
    <row r="18" spans="1:9">
      <c r="G18" s="17"/>
      <c r="H18" s="18"/>
      <c r="I18" s="18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CBAD-BA8F-4781-9289-529972C5FD16}">
  <dimension ref="B1:H12"/>
  <sheetViews>
    <sheetView tabSelected="1" workbookViewId="0">
      <selection activeCell="F12" sqref="F12"/>
    </sheetView>
  </sheetViews>
  <sheetFormatPr defaultRowHeight="15"/>
  <cols>
    <col min="2" max="2" width="15.140625" bestFit="1" customWidth="1"/>
    <col min="3" max="4" width="9.7109375" bestFit="1" customWidth="1"/>
    <col min="5" max="5" width="9.85546875" bestFit="1" customWidth="1"/>
    <col min="6" max="6" width="13.42578125" bestFit="1" customWidth="1"/>
    <col min="7" max="7" width="10" bestFit="1" customWidth="1"/>
    <col min="8" max="8" width="12.140625" bestFit="1" customWidth="1"/>
  </cols>
  <sheetData>
    <row r="1" spans="2:8" ht="15.75" thickBot="1">
      <c r="B1" s="22"/>
      <c r="C1" s="23" t="s">
        <v>19</v>
      </c>
      <c r="D1" s="23" t="s">
        <v>20</v>
      </c>
      <c r="E1" s="23" t="s">
        <v>21</v>
      </c>
    </row>
    <row r="2" spans="2:8" ht="15.75" thickBot="1">
      <c r="B2" s="23" t="s">
        <v>22</v>
      </c>
      <c r="C2" s="22">
        <v>7</v>
      </c>
      <c r="D2" s="22">
        <v>5</v>
      </c>
      <c r="E2" s="22">
        <v>9</v>
      </c>
    </row>
    <row r="3" spans="2:8" ht="15.75" thickBot="1">
      <c r="B3" s="23" t="s">
        <v>23</v>
      </c>
      <c r="C3" s="22">
        <v>8</v>
      </c>
      <c r="D3" s="22">
        <v>6</v>
      </c>
      <c r="E3" s="22">
        <v>4</v>
      </c>
    </row>
    <row r="4" spans="2:8" ht="15.75" thickBot="1">
      <c r="B4" s="23" t="s">
        <v>24</v>
      </c>
      <c r="C4" s="22">
        <v>100</v>
      </c>
      <c r="D4" s="22">
        <v>120</v>
      </c>
      <c r="E4" s="22">
        <v>130</v>
      </c>
    </row>
    <row r="5" spans="2:8" ht="15.75" thickBot="1"/>
    <row r="6" spans="2:8" ht="15.75" thickBot="1">
      <c r="B6" s="3" t="s">
        <v>25</v>
      </c>
      <c r="C6" s="3" t="s">
        <v>19</v>
      </c>
      <c r="D6" s="3" t="s">
        <v>20</v>
      </c>
      <c r="E6" s="3" t="s">
        <v>21</v>
      </c>
      <c r="F6" s="3" t="s">
        <v>26</v>
      </c>
      <c r="G6" s="3" t="s">
        <v>27</v>
      </c>
      <c r="H6" s="3" t="s">
        <v>28</v>
      </c>
    </row>
    <row r="7" spans="2:8" ht="15.75" thickBot="1">
      <c r="B7" s="3" t="s">
        <v>22</v>
      </c>
      <c r="C7" s="4">
        <v>100</v>
      </c>
      <c r="D7" s="4">
        <v>50</v>
      </c>
      <c r="E7" s="4">
        <v>0</v>
      </c>
      <c r="F7" s="26">
        <f>SUM(C7:E7)</f>
        <v>150</v>
      </c>
      <c r="G7" s="4" t="s">
        <v>31</v>
      </c>
      <c r="H7" s="4">
        <v>150</v>
      </c>
    </row>
    <row r="8" spans="2:8" ht="15.75" thickBot="1">
      <c r="B8" s="3" t="s">
        <v>23</v>
      </c>
      <c r="C8" s="4">
        <v>0</v>
      </c>
      <c r="D8" s="4">
        <v>70</v>
      </c>
      <c r="E8" s="4">
        <v>130</v>
      </c>
      <c r="F8" s="26">
        <f>SUM(C8:E8)</f>
        <v>200</v>
      </c>
      <c r="G8" s="4" t="s">
        <v>31</v>
      </c>
      <c r="H8" s="4">
        <v>200</v>
      </c>
    </row>
    <row r="9" spans="2:8" ht="15.75" thickBot="1">
      <c r="B9" s="3" t="s">
        <v>29</v>
      </c>
      <c r="C9" s="26">
        <f>SUM(C7:C8)</f>
        <v>100</v>
      </c>
      <c r="D9" s="26">
        <f t="shared" ref="D9:E9" si="0">SUM(D7:D8)</f>
        <v>120</v>
      </c>
      <c r="E9" s="26">
        <f t="shared" si="0"/>
        <v>130</v>
      </c>
      <c r="F9" s="4"/>
      <c r="G9" s="4"/>
      <c r="H9" s="4"/>
    </row>
    <row r="10" spans="2:8" ht="15.75" thickBot="1">
      <c r="B10" s="3" t="s">
        <v>24</v>
      </c>
      <c r="C10" s="4">
        <v>100</v>
      </c>
      <c r="D10" s="4">
        <v>120</v>
      </c>
      <c r="E10" s="4">
        <v>130</v>
      </c>
      <c r="F10" s="4"/>
      <c r="G10" s="4"/>
      <c r="H10" s="4"/>
    </row>
    <row r="11" spans="2:8" ht="15.75" thickBot="1"/>
    <row r="12" spans="2:8" ht="30.75" thickBot="1">
      <c r="B12" s="24" t="s">
        <v>30</v>
      </c>
      <c r="C12" s="25">
        <f>SUMPRODUCT($C$2:$E$3,$C$7:$E$8)</f>
        <v>1890</v>
      </c>
      <c r="D12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2F242-FE6E-44EB-8D9A-B498CDD36E55}">
  <dimension ref="B1:H12"/>
  <sheetViews>
    <sheetView workbookViewId="0">
      <selection activeCell="E4" sqref="E4"/>
    </sheetView>
  </sheetViews>
  <sheetFormatPr defaultRowHeight="15"/>
  <cols>
    <col min="2" max="2" width="15.140625" bestFit="1" customWidth="1"/>
    <col min="3" max="4" width="9.7109375" bestFit="1" customWidth="1"/>
    <col min="5" max="5" width="9.85546875" bestFit="1" customWidth="1"/>
    <col min="6" max="6" width="13.42578125" bestFit="1" customWidth="1"/>
    <col min="7" max="7" width="10" bestFit="1" customWidth="1"/>
    <col min="8" max="8" width="12.140625" bestFit="1" customWidth="1"/>
  </cols>
  <sheetData>
    <row r="1" spans="2:8" ht="15.75" thickBot="1">
      <c r="B1" s="22"/>
      <c r="C1" s="23" t="s">
        <v>19</v>
      </c>
      <c r="D1" s="23" t="s">
        <v>20</v>
      </c>
      <c r="E1" s="23" t="s">
        <v>21</v>
      </c>
    </row>
    <row r="2" spans="2:8" ht="15.75" thickBot="1">
      <c r="B2" s="23" t="s">
        <v>22</v>
      </c>
      <c r="C2" s="22">
        <v>7</v>
      </c>
      <c r="D2" s="22">
        <v>5</v>
      </c>
      <c r="E2" s="22">
        <v>9</v>
      </c>
    </row>
    <row r="3" spans="2:8" ht="15.75" thickBot="1">
      <c r="B3" s="23" t="s">
        <v>23</v>
      </c>
      <c r="C3" s="22">
        <v>8</v>
      </c>
      <c r="D3" s="22">
        <v>6</v>
      </c>
      <c r="E3" s="22">
        <v>6</v>
      </c>
    </row>
    <row r="4" spans="2:8" ht="15.75" thickBot="1">
      <c r="B4" s="23" t="s">
        <v>24</v>
      </c>
      <c r="C4" s="22">
        <v>100</v>
      </c>
      <c r="D4" s="22">
        <v>120</v>
      </c>
      <c r="E4" s="22">
        <v>130</v>
      </c>
    </row>
    <row r="5" spans="2:8" ht="15.75" thickBot="1"/>
    <row r="6" spans="2:8" ht="15.75" thickBot="1">
      <c r="B6" s="3" t="s">
        <v>25</v>
      </c>
      <c r="C6" s="3" t="s">
        <v>19</v>
      </c>
      <c r="D6" s="3" t="s">
        <v>20</v>
      </c>
      <c r="E6" s="3" t="s">
        <v>21</v>
      </c>
      <c r="F6" s="3" t="s">
        <v>26</v>
      </c>
      <c r="G6" s="3" t="s">
        <v>27</v>
      </c>
      <c r="H6" s="3" t="s">
        <v>28</v>
      </c>
    </row>
    <row r="7" spans="2:8" ht="15.75" thickBot="1">
      <c r="B7" s="3" t="s">
        <v>22</v>
      </c>
      <c r="C7" s="4">
        <v>100</v>
      </c>
      <c r="D7" s="4">
        <v>50</v>
      </c>
      <c r="E7" s="4">
        <v>0</v>
      </c>
      <c r="F7" s="26">
        <f>SUM(C7:E7)</f>
        <v>150</v>
      </c>
      <c r="G7" s="4" t="s">
        <v>31</v>
      </c>
      <c r="H7" s="4">
        <v>150</v>
      </c>
    </row>
    <row r="8" spans="2:8" ht="15.75" thickBot="1">
      <c r="B8" s="3" t="s">
        <v>23</v>
      </c>
      <c r="C8" s="4">
        <v>0</v>
      </c>
      <c r="D8" s="4">
        <v>70</v>
      </c>
      <c r="E8" s="4">
        <v>130</v>
      </c>
      <c r="F8" s="26">
        <f>SUM(C8:E8)</f>
        <v>200</v>
      </c>
      <c r="G8" s="4" t="s">
        <v>31</v>
      </c>
      <c r="H8" s="4">
        <v>200</v>
      </c>
    </row>
    <row r="9" spans="2:8" ht="15.75" thickBot="1">
      <c r="B9" s="3" t="s">
        <v>29</v>
      </c>
      <c r="C9" s="26">
        <f>SUM(C7:C8)</f>
        <v>100</v>
      </c>
      <c r="D9" s="26">
        <f t="shared" ref="D9:E9" si="0">SUM(D7:D8)</f>
        <v>120</v>
      </c>
      <c r="E9" s="26">
        <f t="shared" si="0"/>
        <v>130</v>
      </c>
      <c r="F9" s="4"/>
      <c r="G9" s="4"/>
      <c r="H9" s="4"/>
    </row>
    <row r="10" spans="2:8" ht="15.75" thickBot="1">
      <c r="B10" s="3" t="s">
        <v>24</v>
      </c>
      <c r="C10" s="4">
        <v>100</v>
      </c>
      <c r="D10" s="4">
        <v>120</v>
      </c>
      <c r="E10" s="4">
        <v>130</v>
      </c>
      <c r="F10" s="4"/>
      <c r="G10" s="4"/>
      <c r="H10" s="4"/>
    </row>
    <row r="11" spans="2:8" ht="15.75" thickBot="1"/>
    <row r="12" spans="2:8" ht="30.75" thickBot="1">
      <c r="B12" s="24" t="s">
        <v>30</v>
      </c>
      <c r="C12" s="25">
        <f>SUMPRODUCT($C$2:$E$3,$C$7:$E$8)</f>
        <v>2150</v>
      </c>
      <c r="D12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31176-6093-4861-B8E5-881FEA6547A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Sheet2 (2)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muhammadrafie390@outlook.com</cp:lastModifiedBy>
  <dcterms:created xsi:type="dcterms:W3CDTF">2025-10-24T11:58:44Z</dcterms:created>
  <dcterms:modified xsi:type="dcterms:W3CDTF">2025-12-18T11:56:40Z</dcterms:modified>
</cp:coreProperties>
</file>